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Cómo usar este Excel" sheetId="1" state="visible" r:id="rId1"/>
    <sheet name="1. Config" sheetId="2" state="visible" r:id="rId2"/>
    <sheet name="2. Generadores" sheetId="3" state="visible" r:id="rId3"/>
    <sheet name="3. En la PC" sheetId="4" state="visible" r:id="rId4"/>
    <sheet name="4. SSH por generador" sheetId="5" state="visible" r:id="rId5"/>
    <sheet name="5. Instalar y actualizar" sheetId="6" state="visible" r:id="rId6"/>
    <sheet name="6. Lanzar RAMPA" sheetId="7" state="visible" r:id="rId7"/>
    <sheet name="7. Lanzar USERS fijo" sheetId="8" state="visible" r:id="rId8"/>
    <sheet name="8. Flota (10 de un tiro)" sheetId="9" state="visible" r:id="rId9"/>
    <sheet name="9. Cortar y logs" sheetId="10" state="visible" r:id="rId10"/>
  </sheets>
  <definedNames>
    <definedName name="_xlnm.Print_Titles" localSheetId="0">'0. Cómo usar este Excel'!$1:$3</definedName>
    <definedName name="_xlnm.Print_Titles" localSheetId="1">'1. Config'!$1:$3</definedName>
    <definedName name="_xlnm.Print_Titles" localSheetId="2">'2. Generadores'!$1:$3</definedName>
    <definedName name="_xlnm.Print_Titles" localSheetId="3">'3. En la PC'!$1:$3</definedName>
    <definedName name="_xlnm.Print_Titles" localSheetId="4">'4. SSH por generador'!$1:$3</definedName>
    <definedName name="_xlnm.Print_Titles" localSheetId="5">'5. Instalar y actualizar'!$1:$3</definedName>
    <definedName name="_xlnm.Print_Titles" localSheetId="6">'6. Lanzar RAMPA'!$1:$3</definedName>
    <definedName name="_xlnm.Print_Titles" localSheetId="7">'7. Lanzar USERS fijo'!$1:$3</definedName>
    <definedName name="_xlnm.Print_Titles" localSheetId="8">'8. Flota (10 de un tiro)'!$1:$3</definedName>
    <definedName name="_xlnm.Print_Titles" localSheetId="9">'9. Cortar y logs'!$1:$3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D1B2A"/>
      <sz val="16"/>
    </font>
    <font>
      <name val="Calibri"/>
      <sz val="11"/>
    </font>
    <font>
      <name val="Calibri"/>
      <b val="1"/>
      <color rgb="00FFFFFF"/>
      <sz val="11"/>
    </font>
    <font>
      <name val="Consolas"/>
      <b val="1"/>
      <sz val="11"/>
    </font>
    <font>
      <name val="Consolas"/>
      <sz val="10"/>
    </font>
    <font>
      <name val="Calibri"/>
      <i val="1"/>
      <color rgb="005B6B80"/>
      <sz val="11"/>
    </font>
    <font>
      <name val="Consolas"/>
      <b val="1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1263F5"/>
      </patternFill>
    </fill>
    <fill>
      <patternFill patternType="solid">
        <fgColor rgb="00FDF3E2"/>
      </patternFill>
    </fill>
    <fill>
      <patternFill patternType="solid">
        <fgColor rgb="00E5F6EC"/>
      </patternFill>
    </fill>
  </fills>
  <borders count="6">
    <border>
      <left/>
      <right/>
      <top/>
      <bottom/>
      <diagonal/>
    </border>
    <border>
      <left style="thin">
        <color rgb="00C8D4E6"/>
      </left>
      <right style="thin">
        <color rgb="00C8D4E6"/>
      </right>
      <top style="thin">
        <color rgb="00C8D4E6"/>
      </top>
      <bottom style="thin">
        <color rgb="00C8D4E6"/>
      </bottom>
    </border>
    <border>
      <left/>
      <right/>
      <top style="thin">
        <color rgb="00C8D4E6"/>
      </top>
      <bottom/>
      <diagonal/>
    </border>
    <border>
      <left/>
      <right style="thin">
        <color rgb="00C8D4E6"/>
      </right>
      <top style="thin">
        <color rgb="00C8D4E6"/>
      </top>
      <bottom/>
      <diagonal/>
    </border>
    <border>
      <left/>
      <right/>
      <top style="thin">
        <color rgb="00C8D4E6"/>
      </top>
      <bottom style="thin">
        <color rgb="00C8D4E6"/>
      </bottom>
      <diagonal/>
    </border>
    <border>
      <left/>
      <right style="thin">
        <color rgb="00C8D4E6"/>
      </right>
      <top style="thin">
        <color rgb="00C8D4E6"/>
      </top>
      <bottom style="thin">
        <color rgb="00C8D4E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6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0" fontId="0" fillId="2" borderId="1" pivotButton="0" quotePrefix="0" xfId="0"/>
    <xf numFmtId="0" fontId="7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 fitToPage="1"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1" t="inlineStr">
        <is>
          <t>ARGOS · comandos del operador</t>
        </is>
      </c>
      <c r="B1" s="2" t="n"/>
    </row>
    <row r="2" ht="28" customHeight="1">
      <c r="A2" s="3" t="inlineStr">
        <is>
          <t>No memorices comandos. Completá 1. Config y 2. Generadores. Después copiá la celda verde o amarilla.</t>
        </is>
      </c>
      <c r="B2" s="2" t="n"/>
    </row>
    <row r="4">
      <c r="A4" s="4" t="inlineStr">
        <is>
          <t>Hoja</t>
        </is>
      </c>
      <c r="B4" s="4" t="inlineStr">
        <is>
          <t>Para qué</t>
        </is>
      </c>
    </row>
    <row r="5" ht="22" customHeight="1">
      <c r="A5" s="5" t="inlineStr">
        <is>
          <t>1. Config</t>
        </is>
      </c>
      <c r="B5" s="6" t="inlineStr">
        <is>
          <t>URL del collector, YAML, rampa, --lite. Se edita UNA vez por prueba.</t>
        </is>
      </c>
    </row>
    <row r="6" ht="22" customHeight="1">
      <c r="A6" s="5" t="inlineStr">
        <is>
          <t>2. Generadores</t>
        </is>
      </c>
      <c r="B6" s="6" t="inlineStr">
        <is>
          <t>IP de cada servidor. gen-01 ya tiene 216.185.51.83. Completá el resto.</t>
        </is>
      </c>
    </row>
    <row r="7" ht="22" customHeight="1">
      <c r="A7" s="5" t="inlineStr">
        <is>
          <t>3. En la PC</t>
        </is>
      </c>
      <c r="B7" s="6" t="inlineStr">
        <is>
          <t>Collector + túnel inverso. Sin esto el runner no aparece en el dashboard.</t>
        </is>
      </c>
    </row>
    <row r="8" ht="22" customHeight="1">
      <c r="A8" s="5" t="inlineStr">
        <is>
          <t>4. SSH por generador</t>
        </is>
      </c>
      <c r="B8" s="6" t="inlineStr">
        <is>
          <t>ssh root@IP de cada máquina. instance_id distinto por fila.</t>
        </is>
      </c>
    </row>
    <row r="9" ht="22" customHeight="1">
      <c r="A9" s="5" t="inlineStr">
        <is>
          <t>5. Instalar y actualizar</t>
        </is>
      </c>
      <c r="B9" s="6" t="inlineStr">
        <is>
          <t>clone, setup.sh, git pull, humo de 1 sonda.</t>
        </is>
      </c>
    </row>
    <row r="10" ht="22" customHeight="1">
      <c r="A10" s="5" t="inlineStr">
        <is>
          <t>6. Lanzar RAMPA</t>
        </is>
      </c>
      <c r="B10" s="6" t="inlineStr">
        <is>
          <t>EL comando de hoy: 10 filas, --instance-id gen-01 … gen-10.</t>
        </is>
      </c>
    </row>
    <row r="11" ht="22" customHeight="1">
      <c r="A11" s="5" t="inlineStr">
        <is>
          <t>7. Lanzar USERS fijo</t>
        </is>
      </c>
      <c r="B11" s="6" t="inlineStr">
        <is>
          <t>Si no querés rampa: --users y --duration.</t>
        </is>
      </c>
    </row>
    <row r="12" ht="22" customHeight="1">
      <c r="A12" s="5" t="inlineStr">
        <is>
          <t>8. Flota</t>
        </is>
      </c>
      <c r="B12" s="6" t="inlineStr">
        <is>
          <t>Los 10 de un tiro con fleet.sh y un run_id compartido.</t>
        </is>
      </c>
    </row>
    <row r="13" ht="22" customHeight="1">
      <c r="A13" s="5" t="inlineStr">
        <is>
          <t>9. Cortar y logs</t>
        </is>
      </c>
      <c r="B13" s="6" t="inlineStr">
        <is>
          <t>pkill, tail -f carga.log, informe.</t>
        </is>
      </c>
    </row>
    <row r="15" ht="48" customHeight="1">
      <c r="A15" s="7" t="inlineStr">
        <is>
          <t>Sonda ≠ generador. Generador = una máquina (gen-01). Sonda = un Chromium adentro (probe-01). Vos lanzás UN comando por generador. ARGOS abre las sondas solo. Celdas amarillas = las editás. Celdas verdes = las copiás.</t>
        </is>
      </c>
      <c r="B15" s="2" t="n"/>
    </row>
  </sheetData>
  <mergeCells count="3">
    <mergeCell ref="A2:B2"/>
    <mergeCell ref="A1:B1"/>
    <mergeCell ref="A15:B1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263F5"/>
    <outlinePr summaryBelow="1" summaryRight="1"/>
    <pageSetUpPr fitToPage="1"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</cols>
  <sheetData>
    <row r="1" ht="28" customHeight="1">
      <c r="A1" s="1" t="inlineStr">
        <is>
          <t>ARGOS · cambiá estos valores y el resto de hojas arma los comandos</t>
        </is>
      </c>
      <c r="B1" s="2" t="n"/>
      <c r="C1" s="2" t="n"/>
    </row>
    <row r="3" ht="22" customHeight="1">
      <c r="A3" s="4" t="inlineStr">
        <is>
          <t>Clave</t>
        </is>
      </c>
      <c r="B3" s="4" t="inlineStr">
        <is>
          <t>Valor (editá acá)</t>
        </is>
      </c>
      <c r="C3" s="4" t="inlineStr">
        <is>
          <t>Para qué</t>
        </is>
      </c>
    </row>
    <row r="4" ht="22" customHeight="1">
      <c r="A4" s="8" t="inlineStr">
        <is>
          <t>repo</t>
        </is>
      </c>
      <c r="B4" s="9" t="inlineStr">
        <is>
          <t>https://github.com/kodeskia-byte/ARGOS.git</t>
        </is>
      </c>
      <c r="C4" s="6" t="inlineStr">
        <is>
          <t>git clone en un servidor nuevo</t>
        </is>
      </c>
    </row>
    <row r="5" ht="22" customHeight="1">
      <c r="A5" s="8" t="inlineStr">
        <is>
          <t>dir</t>
        </is>
      </c>
      <c r="B5" s="9" t="inlineStr">
        <is>
          <t>ARGOS</t>
        </is>
      </c>
      <c r="C5" s="6" t="inlineStr">
        <is>
          <t>Carpeta del repo en el servidor (cd ARGOS)</t>
        </is>
      </c>
    </row>
    <row r="6" ht="22" customHeight="1">
      <c r="A6" s="8" t="inlineStr">
        <is>
          <t>controller_url</t>
        </is>
      </c>
      <c r="B6" s="9" t="inlineStr">
        <is>
          <t>http://127.0.0.1:8080</t>
        </is>
      </c>
      <c r="C6" s="6" t="inlineStr">
        <is>
          <t>Con túnel inverso el runner ve el collector en localhost</t>
        </is>
      </c>
    </row>
    <row r="7" ht="22" customHeight="1">
      <c r="A7" s="8" t="inlineStr">
        <is>
          <t>flow</t>
        </is>
      </c>
      <c r="B7" s="9" t="inlineStr">
        <is>
          <t>flows/example.yaml</t>
        </is>
      </c>
      <c r="C7" s="6" t="inlineStr">
        <is>
          <t>YAML del journey</t>
        </is>
      </c>
    </row>
    <row r="8" ht="22" customHeight="1">
      <c r="A8" s="8" t="inlineStr">
        <is>
          <t>data</t>
        </is>
      </c>
      <c r="B8" s="9" t="inlineStr"/>
      <c r="C8" s="6" t="inlineStr">
        <is>
          <t>CSV opcional. Ej: flows/data.example.csv. Vacío = sin --data</t>
        </is>
      </c>
    </row>
    <row r="9" ht="22" customHeight="1">
      <c r="A9" s="8" t="inlineStr">
        <is>
          <t>ramp</t>
        </is>
      </c>
      <c r="B9" s="9" t="inlineStr">
        <is>
          <t>5@1m,15@3m,30@5m</t>
        </is>
      </c>
      <c r="C9" s="6" t="inlineStr">
        <is>
          <t>Rampa: usuarios@tiempo. Una sola corrida</t>
        </is>
      </c>
    </row>
    <row r="10" ht="22" customHeight="1">
      <c r="A10" s="8" t="inlineStr">
        <is>
          <t>users</t>
        </is>
      </c>
      <c r="B10" s="9" t="inlineStr">
        <is>
          <t>20</t>
        </is>
      </c>
      <c r="C10" s="6" t="inlineStr">
        <is>
          <t>Solo si no usás rampa (escalón fijo)</t>
        </is>
      </c>
    </row>
    <row r="11" ht="22" customHeight="1">
      <c r="A11" s="8" t="inlineStr">
        <is>
          <t>duration</t>
        </is>
      </c>
      <c r="B11" s="9" t="inlineStr">
        <is>
          <t>10m</t>
        </is>
      </c>
      <c r="C11" s="6" t="inlineStr">
        <is>
          <t>Solo si no usás rampa</t>
        </is>
      </c>
    </row>
    <row r="12" ht="22" customHeight="1">
      <c r="A12" s="8" t="inlineStr">
        <is>
          <t>abort_error</t>
        </is>
      </c>
      <c r="B12" s="9" t="inlineStr">
        <is>
          <t>0.4</t>
        </is>
      </c>
      <c r="C12" s="6" t="inlineStr">
        <is>
          <t>Corta si el error llega al 40%</t>
        </is>
      </c>
    </row>
    <row r="13" ht="22" customHeight="1">
      <c r="A13" s="8" t="inlineStr">
        <is>
          <t>abort_cpu</t>
        </is>
      </c>
      <c r="B13" s="9" t="inlineStr">
        <is>
          <t>90</t>
        </is>
      </c>
      <c r="C13" s="6" t="inlineStr">
        <is>
          <t>Corta si la CPU del GENERADOR llega a 90%</t>
        </is>
      </c>
    </row>
    <row r="14" ht="22" customHeight="1">
      <c r="A14" s="8" t="inlineStr">
        <is>
          <t>lite</t>
        </is>
      </c>
      <c r="B14" s="9" t="inlineStr">
        <is>
          <t>si</t>
        </is>
      </c>
      <c r="C14" s="6" t="inlineStr">
        <is>
          <t>si = --lite (capacidad). no = Chromium de usuario real</t>
        </is>
      </c>
    </row>
    <row r="15" ht="22" customHeight="1">
      <c r="A15" s="8" t="inlineStr">
        <is>
          <t>ip_pc</t>
        </is>
      </c>
      <c r="B15" s="9" t="inlineStr">
        <is>
          <t>127.0.0.1</t>
        </is>
      </c>
      <c r="C15" s="6" t="inlineStr">
        <is>
          <t>IP de la PC donde corre el collector (para el túnel)</t>
        </is>
      </c>
    </row>
    <row r="16" ht="22" customHeight="1">
      <c r="A16" s="8" t="inlineStr">
        <is>
          <t>puerto</t>
        </is>
      </c>
      <c r="B16" s="9" t="inlineStr">
        <is>
          <t>8080</t>
        </is>
      </c>
      <c r="C16" s="6" t="inlineStr">
        <is>
          <t>Puerto del Live Room</t>
        </is>
      </c>
    </row>
    <row r="17" ht="22" customHeight="1">
      <c r="A17" s="8" t="inlineStr">
        <is>
          <t>user_ssh</t>
        </is>
      </c>
      <c r="B17" s="9" t="inlineStr">
        <is>
          <t>root</t>
        </is>
      </c>
      <c r="C17" s="6" t="inlineStr">
        <is>
          <t>Usuario SSH de los generadores</t>
        </is>
      </c>
    </row>
    <row r="19" ht="48" customHeight="1">
      <c r="A19" s="10" t="inlineStr">
        <is>
          <t>El collector corre en tu PC con ./venv/bin/python (el python del sistema es 2.7 y se cae). El túnel inverso deja el 8080 de la PC en el 8080 de cada servidor. Por eso controller_url es http://127.0.0.1:8080 cuando lanzás desde el generador.</t>
        </is>
      </c>
      <c r="B19" s="2" t="n"/>
      <c r="C19" s="2" t="n"/>
    </row>
  </sheetData>
  <mergeCells count="2">
    <mergeCell ref="A1:C1"/>
    <mergeCell ref="A19:C1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263F5"/>
    <outlinePr summaryBelow="1" summaryRight="1"/>
    <pageSetUpPr fitToPage="1"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2" customWidth="1" min="4" max="4"/>
    <col width="62" customWidth="1" min="5" max="5"/>
  </cols>
  <sheetData>
    <row r="1" ht="40" customHeight="1">
      <c r="A1" s="1" t="inlineStr">
        <is>
          <t>Una fila = un SERVIDOR (generador). Las sondas probe-01, probe-02… las crea el runner adentro. El instance_id tiene que ser distinto: si dos máquinas dicen gen-01, el informe se mezcla.</t>
        </is>
      </c>
      <c r="B1" s="11" t="n"/>
      <c r="C1" s="11" t="n"/>
      <c r="D1" s="11" t="n"/>
      <c r="E1" s="11" t="n"/>
    </row>
    <row r="3">
      <c r="A3" s="4" t="inlineStr">
        <is>
          <t>#</t>
        </is>
      </c>
      <c r="B3" s="4" t="inlineStr">
        <is>
          <t>instance_id</t>
        </is>
      </c>
      <c r="C3" s="4" t="inlineStr">
        <is>
          <t>ssh_destino (user@IP)</t>
        </is>
      </c>
      <c r="D3" s="4" t="inlineStr">
        <is>
          <t>IP sola</t>
        </is>
      </c>
      <c r="E3" s="4" t="inlineStr">
        <is>
          <t>Notas</t>
        </is>
      </c>
    </row>
    <row r="4" ht="22" customHeight="1">
      <c r="A4" s="6" t="n">
        <v>1</v>
      </c>
      <c r="B4" s="12" t="inlineStr">
        <is>
          <t>gen-01</t>
        </is>
      </c>
      <c r="C4" s="9">
        <f>CONCATENATE('1. Config'!$B$17,"@",D4)</f>
        <v/>
      </c>
      <c r="D4" s="9" t="inlineStr">
        <is>
          <t>216.185.51.83</t>
        </is>
      </c>
      <c r="E4" s="6" t="inlineStr">
        <is>
          <t>Servidor que ya usamos</t>
        </is>
      </c>
    </row>
    <row r="5" ht="22" customHeight="1">
      <c r="A5" s="6" t="n">
        <v>2</v>
      </c>
      <c r="B5" s="12" t="inlineStr">
        <is>
          <t>gen-02</t>
        </is>
      </c>
      <c r="C5" s="9">
        <f>CONCATENATE('1. Config'!$B$17,"@",D5)</f>
        <v/>
      </c>
      <c r="D5" s="9" t="inlineStr">
        <is>
          <t>IP_GEN_02</t>
        </is>
      </c>
      <c r="E5" s="6" t="inlineStr">
        <is>
          <t>Completá la IP. Dejá la fila si no usás este servidor.</t>
        </is>
      </c>
    </row>
    <row r="6" ht="22" customHeight="1">
      <c r="A6" s="6" t="n">
        <v>3</v>
      </c>
      <c r="B6" s="12" t="inlineStr">
        <is>
          <t>gen-03</t>
        </is>
      </c>
      <c r="C6" s="9">
        <f>CONCATENATE('1. Config'!$B$17,"@",D6)</f>
        <v/>
      </c>
      <c r="D6" s="9" t="inlineStr">
        <is>
          <t>IP_GEN_03</t>
        </is>
      </c>
      <c r="E6" s="6" t="inlineStr">
        <is>
          <t>Completá la IP. Dejá la fila si no usás este servidor.</t>
        </is>
      </c>
    </row>
    <row r="7" ht="22" customHeight="1">
      <c r="A7" s="6" t="n">
        <v>4</v>
      </c>
      <c r="B7" s="12" t="inlineStr">
        <is>
          <t>gen-04</t>
        </is>
      </c>
      <c r="C7" s="9">
        <f>CONCATENATE('1. Config'!$B$17,"@",D7)</f>
        <v/>
      </c>
      <c r="D7" s="9" t="inlineStr">
        <is>
          <t>IP_GEN_04</t>
        </is>
      </c>
      <c r="E7" s="6" t="inlineStr">
        <is>
          <t>Completá la IP. Dejá la fila si no usás este servidor.</t>
        </is>
      </c>
    </row>
    <row r="8" ht="22" customHeight="1">
      <c r="A8" s="6" t="n">
        <v>5</v>
      </c>
      <c r="B8" s="12" t="inlineStr">
        <is>
          <t>gen-05</t>
        </is>
      </c>
      <c r="C8" s="9">
        <f>CONCATENATE('1. Config'!$B$17,"@",D8)</f>
        <v/>
      </c>
      <c r="D8" s="9" t="inlineStr">
        <is>
          <t>IP_GEN_05</t>
        </is>
      </c>
      <c r="E8" s="6" t="inlineStr">
        <is>
          <t>Completá la IP. Dejá la fila si no usás este servidor.</t>
        </is>
      </c>
    </row>
    <row r="9" ht="22" customHeight="1">
      <c r="A9" s="6" t="n">
        <v>6</v>
      </c>
      <c r="B9" s="12" t="inlineStr">
        <is>
          <t>gen-06</t>
        </is>
      </c>
      <c r="C9" s="9">
        <f>CONCATENATE('1. Config'!$B$17,"@",D9)</f>
        <v/>
      </c>
      <c r="D9" s="9" t="inlineStr">
        <is>
          <t>IP_GEN_06</t>
        </is>
      </c>
      <c r="E9" s="6" t="inlineStr">
        <is>
          <t>Completá la IP. Dejá la fila si no usás este servidor.</t>
        </is>
      </c>
    </row>
    <row r="10" ht="22" customHeight="1">
      <c r="A10" s="6" t="n">
        <v>7</v>
      </c>
      <c r="B10" s="12" t="inlineStr">
        <is>
          <t>gen-07</t>
        </is>
      </c>
      <c r="C10" s="9">
        <f>CONCATENATE('1. Config'!$B$17,"@",D10)</f>
        <v/>
      </c>
      <c r="D10" s="9" t="inlineStr">
        <is>
          <t>IP_GEN_07</t>
        </is>
      </c>
      <c r="E10" s="6" t="inlineStr">
        <is>
          <t>Completá la IP. Dejá la fila si no usás este servidor.</t>
        </is>
      </c>
    </row>
    <row r="11" ht="22" customHeight="1">
      <c r="A11" s="6" t="n">
        <v>8</v>
      </c>
      <c r="B11" s="12" t="inlineStr">
        <is>
          <t>gen-08</t>
        </is>
      </c>
      <c r="C11" s="9">
        <f>CONCATENATE('1. Config'!$B$17,"@",D11)</f>
        <v/>
      </c>
      <c r="D11" s="9" t="inlineStr">
        <is>
          <t>IP_GEN_08</t>
        </is>
      </c>
      <c r="E11" s="6" t="inlineStr">
        <is>
          <t>Completá la IP. Dejá la fila si no usás este servidor.</t>
        </is>
      </c>
    </row>
    <row r="12" ht="22" customHeight="1">
      <c r="A12" s="6" t="n">
        <v>9</v>
      </c>
      <c r="B12" s="12" t="inlineStr">
        <is>
          <t>gen-09</t>
        </is>
      </c>
      <c r="C12" s="9">
        <f>CONCATENATE('1. Config'!$B$17,"@",D12)</f>
        <v/>
      </c>
      <c r="D12" s="9" t="inlineStr">
        <is>
          <t>IP_GEN_09</t>
        </is>
      </c>
      <c r="E12" s="6" t="inlineStr">
        <is>
          <t>Completá la IP. Dejá la fila si no usás este servidor.</t>
        </is>
      </c>
    </row>
    <row r="13" ht="22" customHeight="1">
      <c r="A13" s="6" t="n">
        <v>10</v>
      </c>
      <c r="B13" s="12" t="inlineStr">
        <is>
          <t>gen-10</t>
        </is>
      </c>
      <c r="C13" s="9">
        <f>CONCATENATE('1. Config'!$B$17,"@",D13)</f>
        <v/>
      </c>
      <c r="D13" s="9" t="inlineStr">
        <is>
          <t>IP_GEN_10</t>
        </is>
      </c>
      <c r="E13" s="6" t="inlineStr">
        <is>
          <t>Completá la IP. Dejá la fila si no usás este servidor.</t>
        </is>
      </c>
    </row>
    <row r="15" ht="36" customHeight="1">
      <c r="A15" s="10" t="inlineStr">
        <is>
          <t>Con 1 servidor solo usás la fila gen-01. Con 10, las 10. fleet.sh lee deploy/hosts.txt (una línea user@IP por máquina) y pone gen-01… gen-10 solo.</t>
        </is>
      </c>
      <c r="B15" s="11" t="n"/>
      <c r="C15" s="11" t="n"/>
      <c r="D15" s="11" t="n"/>
      <c r="E15" s="11" t="n"/>
    </row>
  </sheetData>
  <mergeCells count="2">
    <mergeCell ref="A15:E15"/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F9D58"/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00" customWidth="1" min="3" max="3"/>
  </cols>
  <sheetData>
    <row r="1" ht="28" customHeight="1">
      <c r="A1" s="1" t="inlineStr">
        <is>
          <t>Esto se corre en TU notebook, no en el servidor de carga</t>
        </is>
      </c>
      <c r="B1" s="2" t="n"/>
      <c r="C1" s="2" t="n"/>
    </row>
    <row r="3">
      <c r="A3" s="4" t="inlineStr">
        <is>
          <t>Paso</t>
        </is>
      </c>
      <c r="B3" s="4" t="inlineStr">
        <is>
          <t>Dónde</t>
        </is>
      </c>
      <c r="C3" s="4" t="inlineStr">
        <is>
          <t>Comando (copiá la celda)</t>
        </is>
      </c>
    </row>
    <row r="4" ht="36" customHeight="1">
      <c r="A4" s="6" t="inlineStr">
        <is>
          <t>1. Collector (dejalo abierto)</t>
        </is>
      </c>
      <c r="B4" s="6" t="inlineStr">
        <is>
          <t>PC · terminal 1</t>
        </is>
      </c>
      <c r="C4" s="13">
        <f>"cd ~/Música/ARGOS &amp;&amp; ./venv/bin/python -m argos.controller.server --host 127.0.0.1 --port "&amp;'1. Config'!B16</f>
        <v/>
      </c>
    </row>
    <row r="5" ht="36" customHeight="1">
      <c r="A5" s="6" t="inlineStr">
        <is>
          <t>2. Túnel inverso (dejalo abierto)</t>
        </is>
      </c>
      <c r="B5" s="6" t="inlineStr">
        <is>
          <t>PC · terminal 2</t>
        </is>
      </c>
      <c r="C5" s="13">
        <f>"ssh -N -o ServerAliveInterval=30 -o ExitOnForwardFailure=yes -R "&amp;'1. Config'!B16&amp;":127.0.0.1:"&amp;'1. Config'!B16&amp;" "&amp;'2. Generadores'!C4</f>
        <v/>
      </c>
    </row>
    <row r="6" ht="36" customHeight="1">
      <c r="A6" s="6" t="inlineStr">
        <is>
          <t>3. Dashboard</t>
        </is>
      </c>
      <c r="B6" s="6" t="inlineStr">
        <is>
          <t>Navegador en la PC</t>
        </is>
      </c>
      <c r="C6" s="13">
        <f>"http://127.0.0.1:"&amp;'1. Config'!B16</f>
        <v/>
      </c>
    </row>
    <row r="7" ht="36" customHeight="1">
      <c r="A7" s="6" t="inlineStr">
        <is>
          <t>4. Si el puerto 8080 está ocupado</t>
        </is>
      </c>
      <c r="B7" s="6" t="inlineStr">
        <is>
          <t>PC</t>
        </is>
      </c>
      <c r="C7" s="13" t="inlineStr">
        <is>
          <t>fuser -k 8080/tcp</t>
        </is>
      </c>
    </row>
    <row r="8" ht="36" customHeight="1">
      <c r="A8" s="6" t="inlineStr">
        <is>
          <t>5. NO uses python a secas</t>
        </is>
      </c>
      <c r="B8" s="6" t="inlineStr">
        <is>
          <t>PC</t>
        </is>
      </c>
      <c r="C8" s="13" t="inlineStr">
        <is>
          <t># el python del sistema es 2.7. Siempre ./venv/bin/python</t>
        </is>
      </c>
    </row>
    <row r="9" ht="36" customHeight="1">
      <c r="A9" s="6" t="inlineStr">
        <is>
          <t>6. git pull en la PC (código nuevo)</t>
        </is>
      </c>
      <c r="B9" s="6" t="inlineStr">
        <is>
          <t>PC · carpeta ARGOS</t>
        </is>
      </c>
      <c r="C9" s="13" t="inlineStr">
        <is>
          <t>cd ~/Música/ARGOS &amp;&amp; git pull</t>
        </is>
      </c>
    </row>
    <row r="10" ht="36" customHeight="1">
      <c r="A10" s="6" t="inlineStr">
        <is>
          <t>7. Reiniciar collector después de git pull</t>
        </is>
      </c>
      <c r="B10" s="6" t="inlineStr">
        <is>
          <t>PC · terminal 1</t>
        </is>
      </c>
      <c r="C10" s="13" t="inlineStr">
        <is>
          <t>Ctrl+C y volvé a lanzar el paso 1. Python no recarga el HTML solo.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263F5"/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2" customWidth="1" min="4" max="4"/>
  </cols>
  <sheetData>
    <row r="1" ht="28" customHeight="1">
      <c r="A1" s="1" t="inlineStr">
        <is>
          <t>Conectarte a cada servidor. Una fila = un generador. El instance_id ya va distinto.</t>
        </is>
      </c>
      <c r="B1" s="11" t="n"/>
      <c r="C1" s="11" t="n"/>
      <c r="D1" s="11" t="n"/>
    </row>
    <row r="3">
      <c r="A3" s="4" t="inlineStr">
        <is>
          <t>instance_id</t>
        </is>
      </c>
      <c r="B3" s="4" t="inlineStr">
        <is>
          <t>Conectar</t>
        </is>
      </c>
      <c r="C3" s="4" t="inlineStr">
        <is>
          <t>Una vez adentro</t>
        </is>
      </c>
      <c r="D3" s="4" t="inlineStr">
        <is>
          <t>Salir</t>
        </is>
      </c>
    </row>
    <row r="4" ht="22" customHeight="1">
      <c r="A4" s="12">
        <f>'2. Generadores'!B4</f>
        <v/>
      </c>
      <c r="B4" s="14">
        <f>"ssh "&amp;'2. Generadores'!C4</f>
        <v/>
      </c>
      <c r="C4" s="15">
        <f>"cd "&amp;'1. Config'!B5</f>
        <v/>
      </c>
      <c r="D4" s="6" t="inlineStr">
        <is>
          <t>exit</t>
        </is>
      </c>
    </row>
    <row r="5" ht="22" customHeight="1">
      <c r="A5" s="12">
        <f>'2. Generadores'!B5</f>
        <v/>
      </c>
      <c r="B5" s="14">
        <f>"ssh "&amp;'2. Generadores'!C5</f>
        <v/>
      </c>
      <c r="C5" s="15">
        <f>"cd "&amp;'1. Config'!B5</f>
        <v/>
      </c>
      <c r="D5" s="6" t="inlineStr">
        <is>
          <t>exit</t>
        </is>
      </c>
    </row>
    <row r="6" ht="22" customHeight="1">
      <c r="A6" s="12">
        <f>'2. Generadores'!B6</f>
        <v/>
      </c>
      <c r="B6" s="14">
        <f>"ssh "&amp;'2. Generadores'!C6</f>
        <v/>
      </c>
      <c r="C6" s="15">
        <f>"cd "&amp;'1. Config'!B5</f>
        <v/>
      </c>
      <c r="D6" s="6" t="inlineStr">
        <is>
          <t>exit</t>
        </is>
      </c>
    </row>
    <row r="7" ht="22" customHeight="1">
      <c r="A7" s="12">
        <f>'2. Generadores'!B7</f>
        <v/>
      </c>
      <c r="B7" s="14">
        <f>"ssh "&amp;'2. Generadores'!C7</f>
        <v/>
      </c>
      <c r="C7" s="15">
        <f>"cd "&amp;'1. Config'!B5</f>
        <v/>
      </c>
      <c r="D7" s="6" t="inlineStr">
        <is>
          <t>exit</t>
        </is>
      </c>
    </row>
    <row r="8" ht="22" customHeight="1">
      <c r="A8" s="12">
        <f>'2. Generadores'!B8</f>
        <v/>
      </c>
      <c r="B8" s="14">
        <f>"ssh "&amp;'2. Generadores'!C8</f>
        <v/>
      </c>
      <c r="C8" s="15">
        <f>"cd "&amp;'1. Config'!B5</f>
        <v/>
      </c>
      <c r="D8" s="6" t="inlineStr">
        <is>
          <t>exit</t>
        </is>
      </c>
    </row>
    <row r="9" ht="22" customHeight="1">
      <c r="A9" s="12">
        <f>'2. Generadores'!B9</f>
        <v/>
      </c>
      <c r="B9" s="14">
        <f>"ssh "&amp;'2. Generadores'!C9</f>
        <v/>
      </c>
      <c r="C9" s="15">
        <f>"cd "&amp;'1. Config'!B5</f>
        <v/>
      </c>
      <c r="D9" s="6" t="inlineStr">
        <is>
          <t>exit</t>
        </is>
      </c>
    </row>
    <row r="10" ht="22" customHeight="1">
      <c r="A10" s="12">
        <f>'2. Generadores'!B10</f>
        <v/>
      </c>
      <c r="B10" s="14">
        <f>"ssh "&amp;'2. Generadores'!C10</f>
        <v/>
      </c>
      <c r="C10" s="15">
        <f>"cd "&amp;'1. Config'!B5</f>
        <v/>
      </c>
      <c r="D10" s="6" t="inlineStr">
        <is>
          <t>exit</t>
        </is>
      </c>
    </row>
    <row r="11" ht="22" customHeight="1">
      <c r="A11" s="12">
        <f>'2. Generadores'!B11</f>
        <v/>
      </c>
      <c r="B11" s="14">
        <f>"ssh "&amp;'2. Generadores'!C11</f>
        <v/>
      </c>
      <c r="C11" s="15">
        <f>"cd "&amp;'1. Config'!B5</f>
        <v/>
      </c>
      <c r="D11" s="6" t="inlineStr">
        <is>
          <t>exit</t>
        </is>
      </c>
    </row>
    <row r="12" ht="22" customHeight="1">
      <c r="A12" s="12">
        <f>'2. Generadores'!B12</f>
        <v/>
      </c>
      <c r="B12" s="14">
        <f>"ssh "&amp;'2. Generadores'!C12</f>
        <v/>
      </c>
      <c r="C12" s="15">
        <f>"cd "&amp;'1. Config'!B5</f>
        <v/>
      </c>
      <c r="D12" s="6" t="inlineStr">
        <is>
          <t>exit</t>
        </is>
      </c>
    </row>
    <row r="13" ht="22" customHeight="1">
      <c r="A13" s="12">
        <f>'2. Generadores'!B13</f>
        <v/>
      </c>
      <c r="B13" s="14">
        <f>"ssh "&amp;'2. Generadores'!C13</f>
        <v/>
      </c>
      <c r="C13" s="15">
        <f>"cd "&amp;'1. Config'!B5</f>
        <v/>
      </c>
      <c r="D13" s="6" t="inlineStr">
        <is>
          <t>exit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10" customWidth="1" min="3" max="3"/>
  </cols>
  <sheetData>
    <row r="1" ht="28" customHeight="1">
      <c r="A1" s="1" t="inlineStr">
        <is>
          <t>Correr en CADA generador (después de ssh). Primera vez = instalar. Después = git pull.</t>
        </is>
      </c>
      <c r="B1" s="2" t="n"/>
      <c r="C1" s="2" t="n"/>
    </row>
    <row r="3">
      <c r="A3" s="4" t="inlineStr">
        <is>
          <t>Cuándo</t>
        </is>
      </c>
      <c r="B3" s="4" t="inlineStr">
        <is>
          <t>Qué</t>
        </is>
      </c>
      <c r="C3" s="4" t="inlineStr">
        <is>
          <t>Comando</t>
        </is>
      </c>
    </row>
    <row r="4" ht="40" customHeight="1">
      <c r="A4" s="6" t="inlineStr">
        <is>
          <t>Servidor nuevo</t>
        </is>
      </c>
      <c r="B4" s="6" t="inlineStr">
        <is>
          <t>Clonar el repo</t>
        </is>
      </c>
      <c r="C4" s="13">
        <f>"git clone "&amp;'1. Config'!B4&amp;" &amp;&amp; cd "&amp;'1. Config'!B5</f>
        <v/>
      </c>
    </row>
    <row r="5" ht="40" customHeight="1">
      <c r="A5" s="6" t="inlineStr">
        <is>
          <t>Servidor nuevo</t>
        </is>
      </c>
      <c r="B5" s="6" t="inlineStr">
        <is>
          <t>Instalar generador (venv, Chromium, fuentes PDF)</t>
        </is>
      </c>
      <c r="C5" s="13">
        <f>"cd "&amp;'1. Config'!B5&amp;" &amp;&amp; ./deploy/setup.sh"</f>
        <v/>
      </c>
    </row>
    <row r="6" ht="40" customHeight="1">
      <c r="A6" s="6" t="inlineStr">
        <is>
          <t>Solo la PC del collector, si el collector va en un VPS</t>
        </is>
      </c>
      <c r="B6" s="6" t="inlineStr">
        <is>
          <t>Instalar collector como servicio</t>
        </is>
      </c>
      <c r="C6" s="13">
        <f>"cd "&amp;'1. Config'!B5&amp;" &amp;&amp; ./deploy/setup.sh --with-collector"</f>
        <v/>
      </c>
    </row>
    <row r="7" ht="40" customHeight="1">
      <c r="A7" s="6" t="inlineStr">
        <is>
          <t>Antes de cada prueba</t>
        </is>
      </c>
      <c r="B7" s="6" t="inlineStr">
        <is>
          <t>Bajar el código nuevo</t>
        </is>
      </c>
      <c r="C7" s="13">
        <f>"cd "&amp;'1. Config'!B5&amp;" &amp;&amp; git pull"</f>
        <v/>
      </c>
    </row>
    <row r="8" ht="40" customHeight="1">
      <c r="A8" s="6" t="inlineStr">
        <is>
          <t>Verificar que ARGOS responde</t>
        </is>
      </c>
      <c r="B8" s="6" t="inlineStr">
        <is>
          <t>Tiene que imprimir ok</t>
        </is>
      </c>
      <c r="C8" s="13">
        <f>"cd "&amp;'1. Config'!B5&amp;" &amp;&amp; ./venv/bin/python -c ""import argos; print('ok')"""</f>
        <v/>
      </c>
    </row>
    <row r="9" ht="40" customHeight="1">
      <c r="A9" s="6" t="inlineStr">
        <is>
          <t>Ver la hora (NTP)</t>
        </is>
      </c>
      <c r="B9" s="6" t="inlineStr">
        <is>
          <t>Las 10 máquinas tienen que coincidir</t>
        </is>
      </c>
      <c r="C9" s="13" t="inlineStr">
        <is>
          <t>date</t>
        </is>
      </c>
    </row>
    <row r="10" ht="40" customHeight="1">
      <c r="A10" s="6" t="inlineStr">
        <is>
          <t>Humo: 1 sonda 30 s (este generador)</t>
        </is>
      </c>
      <c r="B10" s="6" t="inlineStr">
        <is>
          <t>Reemplazá gen-01 por el instance_id de ESTA máquina</t>
        </is>
      </c>
      <c r="C10" s="13">
        <f>"cd "&amp;'1. Config'!B5&amp;" &amp;&amp; ./venv/bin/python runner.py --users 1 --duration 30s --flow "&amp;'1. Config'!B7&amp;" --controller-url "&amp;'1. Config'!B6&amp;" --instance-id gen-01"</f>
        <v/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DC3545"/>
    <outlinePr summaryBelow="1" summaryRight="1"/>
    <pageSetUpPr fitToPage="1"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0" customWidth="1" min="3" max="3"/>
    <col width="22" customWidth="1" min="4" max="4"/>
  </cols>
  <sheetData>
    <row r="1" ht="40" customHeight="1">
      <c r="A1" s="1" t="inlineStr">
        <is>
          <t>PEGÁ UN COMANDO POR SERVIDOR. Cada uno tiene --instance-id distinto. nohup sobrevive si se corta el SSH. La rampa se edita en 1. Config (celda ramp).</t>
        </is>
      </c>
      <c r="B1" s="11" t="n"/>
      <c r="C1" s="11" t="n"/>
      <c r="D1" s="11" t="n"/>
    </row>
    <row r="3">
      <c r="A3" s="4" t="inlineStr">
        <is>
          <t>instance_id</t>
        </is>
      </c>
      <c r="B3" s="4" t="inlineStr">
        <is>
          <t>ssh_destino</t>
        </is>
      </c>
      <c r="C3" s="4" t="inlineStr">
        <is>
          <t>Comando a pegar EN ESE servidor</t>
        </is>
      </c>
      <c r="D3" s="4" t="inlineStr">
        <is>
          <t>Ver log</t>
        </is>
      </c>
    </row>
    <row r="4" ht="48" customHeight="1">
      <c r="A4" s="12">
        <f>'2. Generadores'!B4</f>
        <v/>
      </c>
      <c r="B4" s="15">
        <f>'2. Generadores'!C4</f>
        <v/>
      </c>
      <c r="C4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Generadores'!B4&amp;IF('1. Config'!B8="",""," --data "&amp;'1. Config'!B8)&amp;IF('1. Config'!B14="si"," --lite","")&amp;" &gt; carga.log 2&gt;&amp;1 &amp;"</f>
        <v/>
      </c>
      <c r="D4" s="15" t="inlineStr">
        <is>
          <t>tail -f carga.log</t>
        </is>
      </c>
    </row>
    <row r="5" ht="48" customHeight="1">
      <c r="A5" s="12">
        <f>'2. Generadores'!B5</f>
        <v/>
      </c>
      <c r="B5" s="15">
        <f>'2. Generadores'!C5</f>
        <v/>
      </c>
      <c r="C5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Generadores'!B5&amp;IF('1. Config'!B8="",""," --data "&amp;'1. Config'!B8)&amp;IF('1. Config'!B14="si"," --lite","")&amp;" &gt; carga.log 2&gt;&amp;1 &amp;"</f>
        <v/>
      </c>
      <c r="D5" s="15" t="inlineStr">
        <is>
          <t>tail -f carga.log</t>
        </is>
      </c>
    </row>
    <row r="6" ht="48" customHeight="1">
      <c r="A6" s="12">
        <f>'2. Generadores'!B6</f>
        <v/>
      </c>
      <c r="B6" s="15">
        <f>'2. Generadores'!C6</f>
        <v/>
      </c>
      <c r="C6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Generadores'!B6&amp;IF('1. Config'!B8="",""," --data "&amp;'1. Config'!B8)&amp;IF('1. Config'!B14="si"," --lite","")&amp;" &gt; carga.log 2&gt;&amp;1 &amp;"</f>
        <v/>
      </c>
      <c r="D6" s="15" t="inlineStr">
        <is>
          <t>tail -f carga.log</t>
        </is>
      </c>
    </row>
    <row r="7" ht="48" customHeight="1">
      <c r="A7" s="12">
        <f>'2. Generadores'!B7</f>
        <v/>
      </c>
      <c r="B7" s="15">
        <f>'2. Generadores'!C7</f>
        <v/>
      </c>
      <c r="C7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Generadores'!B7&amp;IF('1. Config'!B8="",""," --data "&amp;'1. Config'!B8)&amp;IF('1. Config'!B14="si"," --lite","")&amp;" &gt; carga.log 2&gt;&amp;1 &amp;"</f>
        <v/>
      </c>
      <c r="D7" s="15" t="inlineStr">
        <is>
          <t>tail -f carga.log</t>
        </is>
      </c>
    </row>
    <row r="8" ht="48" customHeight="1">
      <c r="A8" s="12">
        <f>'2. Generadores'!B8</f>
        <v/>
      </c>
      <c r="B8" s="15">
        <f>'2. Generadores'!C8</f>
        <v/>
      </c>
      <c r="C8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Generadores'!B8&amp;IF('1. Config'!B8="",""," --data "&amp;'1. Config'!B8)&amp;IF('1. Config'!B14="si"," --lite","")&amp;" &gt; carga.log 2&gt;&amp;1 &amp;"</f>
        <v/>
      </c>
      <c r="D8" s="15" t="inlineStr">
        <is>
          <t>tail -f carga.log</t>
        </is>
      </c>
    </row>
    <row r="9" ht="48" customHeight="1">
      <c r="A9" s="12">
        <f>'2. Generadores'!B9</f>
        <v/>
      </c>
      <c r="B9" s="15">
        <f>'2. Generadores'!C9</f>
        <v/>
      </c>
      <c r="C9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Generadores'!B9&amp;IF('1. Config'!B8="",""," --data "&amp;'1. Config'!B8)&amp;IF('1. Config'!B14="si"," --lite","")&amp;" &gt; carga.log 2&gt;&amp;1 &amp;"</f>
        <v/>
      </c>
      <c r="D9" s="15" t="inlineStr">
        <is>
          <t>tail -f carga.log</t>
        </is>
      </c>
    </row>
    <row r="10" ht="48" customHeight="1">
      <c r="A10" s="12">
        <f>'2. Generadores'!B10</f>
        <v/>
      </c>
      <c r="B10" s="15">
        <f>'2. Generadores'!C10</f>
        <v/>
      </c>
      <c r="C10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Generadores'!B10&amp;IF('1. Config'!B8="",""," --data "&amp;'1. Config'!B8)&amp;IF('1. Config'!B14="si"," --lite","")&amp;" &gt; carga.log 2&gt;&amp;1 &amp;"</f>
        <v/>
      </c>
      <c r="D10" s="15" t="inlineStr">
        <is>
          <t>tail -f carga.log</t>
        </is>
      </c>
    </row>
    <row r="11" ht="48" customHeight="1">
      <c r="A11" s="12">
        <f>'2. Generadores'!B11</f>
        <v/>
      </c>
      <c r="B11" s="15">
        <f>'2. Generadores'!C11</f>
        <v/>
      </c>
      <c r="C11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Generadores'!B11&amp;IF('1. Config'!B8="",""," --data "&amp;'1. Config'!B8)&amp;IF('1. Config'!B14="si"," --lite","")&amp;" &gt; carga.log 2&gt;&amp;1 &amp;"</f>
        <v/>
      </c>
      <c r="D11" s="15" t="inlineStr">
        <is>
          <t>tail -f carga.log</t>
        </is>
      </c>
    </row>
    <row r="12" ht="48" customHeight="1">
      <c r="A12" s="12">
        <f>'2. Generadores'!B12</f>
        <v/>
      </c>
      <c r="B12" s="15">
        <f>'2. Generadores'!C12</f>
        <v/>
      </c>
      <c r="C12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Generadores'!B12&amp;IF('1. Config'!B8="",""," --data "&amp;'1. Config'!B8)&amp;IF('1. Config'!B14="si"," --lite","")&amp;" &gt; carga.log 2&gt;&amp;1 &amp;"</f>
        <v/>
      </c>
      <c r="D12" s="15" t="inlineStr">
        <is>
          <t>tail -f carga.log</t>
        </is>
      </c>
    </row>
    <row r="13" ht="48" customHeight="1">
      <c r="A13" s="12">
        <f>'2. Generadores'!B13</f>
        <v/>
      </c>
      <c r="B13" s="15">
        <f>'2. Generadores'!C13</f>
        <v/>
      </c>
      <c r="C13" s="14">
        <f>"cd "&amp;'1. Config'!B5&amp;" &amp;&amp; nohup ./venv/bin/python runner.py --flow "&amp;'1. Config'!B7&amp;" --ramp "&amp;'1. Config'!B9&amp;" --abort-error "&amp;'1. Config'!B12&amp;" --abort-cpu "&amp;'1. Config'!B13&amp;" --controller-url "&amp;'1. Config'!B6&amp;" --instance-id "&amp;'2. Generadores'!B13&amp;IF('1. Config'!B8="",""," --data "&amp;'1. Config'!B8)&amp;IF('1. Config'!B14="si"," --lite","")&amp;" &gt; carga.log 2&gt;&amp;1 &amp;"</f>
        <v/>
      </c>
      <c r="D13" s="15" t="inlineStr">
        <is>
          <t>tail -f carga.log</t>
        </is>
      </c>
    </row>
    <row r="15" ht="40" customHeight="1">
      <c r="A15" s="10" t="inlineStr">
        <is>
          <t>Orden: 1) collector en la PC  2) túnel  3) git pull en cada gen  4) pegar el comando de esta hoja. Si usás un solo servidor, solo la fila gen-01. Con 10, las 10, lo más junto que puedas (o usá la hoja 8. Flota).</t>
        </is>
      </c>
      <c r="B15" s="11" t="n"/>
      <c r="C15" s="11" t="n"/>
      <c r="D15" s="11" t="n"/>
    </row>
  </sheetData>
  <mergeCells count="2">
    <mergeCell ref="A1:D1"/>
    <mergeCell ref="A15:D1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5B6B80"/>
    <outlinePr summaryBelow="1" summaryRight="1"/>
    <pageSetUpPr fitToPage="1"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30" customWidth="1" min="3" max="3"/>
  </cols>
  <sheetData>
    <row r="1" ht="28" customHeight="1">
      <c r="A1" s="1" t="inlineStr">
        <is>
          <t>Escalón clásico (--users + --duration). Sin rampa. Editá users y duration en 1. Config.</t>
        </is>
      </c>
      <c r="B1" s="2" t="n"/>
      <c r="C1" s="2" t="n"/>
    </row>
    <row r="3">
      <c r="A3" s="4" t="inlineStr">
        <is>
          <t>instance_id</t>
        </is>
      </c>
      <c r="B3" s="4" t="inlineStr">
        <is>
          <t>ssh_destino</t>
        </is>
      </c>
      <c r="C3" s="4" t="inlineStr">
        <is>
          <t>Comando a pegar EN ESE servidor</t>
        </is>
      </c>
    </row>
    <row r="4" ht="44" customHeight="1">
      <c r="A4" s="12">
        <f>'2. Generadores'!B4</f>
        <v/>
      </c>
      <c r="B4" s="15">
        <f>'2. Generadores'!C4</f>
        <v/>
      </c>
      <c r="C4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Generadores'!B4&amp;IF('1. Config'!B8="",""," --data "&amp;'1. Config'!B8)&amp;IF('1. Config'!B14="si"," --lite","")&amp;" &gt; carga.log 2&gt;&amp;1 &amp;"</f>
        <v/>
      </c>
    </row>
    <row r="5" ht="44" customHeight="1">
      <c r="A5" s="12">
        <f>'2. Generadores'!B5</f>
        <v/>
      </c>
      <c r="B5" s="15">
        <f>'2. Generadores'!C5</f>
        <v/>
      </c>
      <c r="C5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Generadores'!B5&amp;IF('1. Config'!B8="",""," --data "&amp;'1. Config'!B8)&amp;IF('1. Config'!B14="si"," --lite","")&amp;" &gt; carga.log 2&gt;&amp;1 &amp;"</f>
        <v/>
      </c>
    </row>
    <row r="6" ht="44" customHeight="1">
      <c r="A6" s="12">
        <f>'2. Generadores'!B6</f>
        <v/>
      </c>
      <c r="B6" s="15">
        <f>'2. Generadores'!C6</f>
        <v/>
      </c>
      <c r="C6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Generadores'!B6&amp;IF('1. Config'!B8="",""," --data "&amp;'1. Config'!B8)&amp;IF('1. Config'!B14="si"," --lite","")&amp;" &gt; carga.log 2&gt;&amp;1 &amp;"</f>
        <v/>
      </c>
    </row>
    <row r="7" ht="44" customHeight="1">
      <c r="A7" s="12">
        <f>'2. Generadores'!B7</f>
        <v/>
      </c>
      <c r="B7" s="15">
        <f>'2. Generadores'!C7</f>
        <v/>
      </c>
      <c r="C7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Generadores'!B7&amp;IF('1. Config'!B8="",""," --data "&amp;'1. Config'!B8)&amp;IF('1. Config'!B14="si"," --lite","")&amp;" &gt; carga.log 2&gt;&amp;1 &amp;"</f>
        <v/>
      </c>
    </row>
    <row r="8" ht="44" customHeight="1">
      <c r="A8" s="12">
        <f>'2. Generadores'!B8</f>
        <v/>
      </c>
      <c r="B8" s="15">
        <f>'2. Generadores'!C8</f>
        <v/>
      </c>
      <c r="C8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Generadores'!B8&amp;IF('1. Config'!B8="",""," --data "&amp;'1. Config'!B8)&amp;IF('1. Config'!B14="si"," --lite","")&amp;" &gt; carga.log 2&gt;&amp;1 &amp;"</f>
        <v/>
      </c>
    </row>
    <row r="9" ht="44" customHeight="1">
      <c r="A9" s="12">
        <f>'2. Generadores'!B9</f>
        <v/>
      </c>
      <c r="B9" s="15">
        <f>'2. Generadores'!C9</f>
        <v/>
      </c>
      <c r="C9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Generadores'!B9&amp;IF('1. Config'!B8="",""," --data "&amp;'1. Config'!B8)&amp;IF('1. Config'!B14="si"," --lite","")&amp;" &gt; carga.log 2&gt;&amp;1 &amp;"</f>
        <v/>
      </c>
    </row>
    <row r="10" ht="44" customHeight="1">
      <c r="A10" s="12">
        <f>'2. Generadores'!B10</f>
        <v/>
      </c>
      <c r="B10" s="15">
        <f>'2. Generadores'!C10</f>
        <v/>
      </c>
      <c r="C10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Generadores'!B10&amp;IF('1. Config'!B8="",""," --data "&amp;'1. Config'!B8)&amp;IF('1. Config'!B14="si"," --lite","")&amp;" &gt; carga.log 2&gt;&amp;1 &amp;"</f>
        <v/>
      </c>
    </row>
    <row r="11" ht="44" customHeight="1">
      <c r="A11" s="12">
        <f>'2. Generadores'!B11</f>
        <v/>
      </c>
      <c r="B11" s="15">
        <f>'2. Generadores'!C11</f>
        <v/>
      </c>
      <c r="C11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Generadores'!B11&amp;IF('1. Config'!B8="",""," --data "&amp;'1. Config'!B8)&amp;IF('1. Config'!B14="si"," --lite","")&amp;" &gt; carga.log 2&gt;&amp;1 &amp;"</f>
        <v/>
      </c>
    </row>
    <row r="12" ht="44" customHeight="1">
      <c r="A12" s="12">
        <f>'2. Generadores'!B12</f>
        <v/>
      </c>
      <c r="B12" s="15">
        <f>'2. Generadores'!C12</f>
        <v/>
      </c>
      <c r="C12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Generadores'!B12&amp;IF('1. Config'!B8="",""," --data "&amp;'1. Config'!B8)&amp;IF('1. Config'!B14="si"," --lite","")&amp;" &gt; carga.log 2&gt;&amp;1 &amp;"</f>
        <v/>
      </c>
    </row>
    <row r="13" ht="44" customHeight="1">
      <c r="A13" s="12">
        <f>'2. Generadores'!B13</f>
        <v/>
      </c>
      <c r="B13" s="15">
        <f>'2. Generadores'!C13</f>
        <v/>
      </c>
      <c r="C13" s="14">
        <f>"cd "&amp;'1. Config'!B5&amp;" &amp;&amp; nohup ./venv/bin/python runner.py --flow "&amp;'1. Config'!B7&amp;" --users "&amp;'1. Config'!B10&amp;" --duration "&amp;'1. Config'!B11&amp;" --controller-url "&amp;'1. Config'!B6&amp;" --instance-id "&amp;'2. Generadores'!B13&amp;IF('1. Config'!B8="",""," --data "&amp;'1. Config'!B8)&amp;IF('1. Config'!B14="si"," --lite","")&amp;" &gt; carga.log 2&gt;&amp;1 &amp;"</f>
        <v/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263F5"/>
    <outlinePr summaryBelow="1" summaryRight="1"/>
    <pageSetUpPr fitToPage="1"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30" customWidth="1" min="2" max="2"/>
  </cols>
  <sheetData>
    <row r="1" ht="28" customHeight="1">
      <c r="A1" s="1" t="inlineStr">
        <is>
          <t>Desde la PC, si ya tenés deploy/hosts.txt. Un run_id compartido. No pegues 10 ssh a mano.</t>
        </is>
      </c>
      <c r="B1" s="2" t="n"/>
    </row>
    <row r="3">
      <c r="A3" s="4" t="inlineStr">
        <is>
          <t>Paso</t>
        </is>
      </c>
      <c r="B3" s="4" t="inlineStr">
        <is>
          <t>Comando</t>
        </is>
      </c>
    </row>
    <row r="4" ht="48" customHeight="1">
      <c r="A4" s="6" t="inlineStr">
        <is>
          <t>Armar hosts.txt (una vez)</t>
        </is>
      </c>
      <c r="B4" s="13" t="inlineStr">
        <is>
          <t>cp deploy/hosts.example.txt deploy/hosts.txt   # y poné user@IP, una por línea</t>
        </is>
      </c>
    </row>
    <row r="5" ht="48" customHeight="1">
      <c r="A5" s="6" t="inlineStr">
        <is>
          <t>Verificar SSH + Python + NTP</t>
        </is>
      </c>
      <c r="B5" s="13">
        <f>"cd ~/Música/ARGOS &amp;&amp; ./deploy/fleet.sh --hosts deploy/hosts.txt --check"</f>
        <v/>
      </c>
    </row>
    <row r="6" ht="48" customHeight="1">
      <c r="A6" s="6" t="inlineStr">
        <is>
          <t>Rampa en todos (misma hora NTP)</t>
        </is>
      </c>
      <c r="B6" s="13">
        <f>"cd ~/Música/ARGOS &amp;&amp; export ARGOS_CONTROLLER_URL="&amp;'1. Config'!B6&amp;" &amp;&amp; ./deploy/fleet.sh --hosts deploy/hosts.txt --pull --at 18:30:00 --flow "&amp;'1. Config'!B7&amp;" --ramp "&amp;'1. Config'!B9&amp;" --abort-error "&amp;'1. Config'!B12&amp;" --abort-cpu "&amp;'1. Config'!B13&amp;IF('1. Config'!B14="si"," --lite","")&amp;IF('1. Config'!B8="",""," --data "&amp;'1. Config'!B8)</f>
        <v/>
      </c>
    </row>
    <row r="7" ht="48" customHeight="1">
      <c r="A7" s="6" t="inlineStr">
        <is>
          <t>Cortar toda la flota</t>
        </is>
      </c>
      <c r="B7" s="13" t="inlineStr">
        <is>
          <t>cd ~/Música/ARGOS &amp;&amp; ./deploy/fleet.sh --hosts deploy/hosts.txt --stop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DC3545"/>
    <outlinePr summaryBelow="1" summaryRight="1"/>
    <pageSetUpPr fitToPage="1"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00" customWidth="1" min="3" max="3"/>
  </cols>
  <sheetData>
    <row r="1">
      <c r="A1" s="1" t="inlineStr">
        <is>
          <t>Emergencia y seguimiento. El instance_id no se usa para matar: se mata el runner de ESA máquina.</t>
        </is>
      </c>
      <c r="B1" s="2" t="n"/>
      <c r="C1" s="2" t="n"/>
    </row>
    <row r="3">
      <c r="A3" s="4" t="inlineStr">
        <is>
          <t>Dónde</t>
        </is>
      </c>
      <c r="B3" s="4" t="inlineStr">
        <is>
          <t>Qué</t>
        </is>
      </c>
      <c r="C3" s="4" t="inlineStr">
        <is>
          <t>Comando</t>
        </is>
      </c>
    </row>
    <row r="4" ht="32" customHeight="1">
      <c r="A4" s="6" t="inlineStr">
        <is>
          <t>Ese generador (ya adentro por SSH)</t>
        </is>
      </c>
      <c r="B4" s="6" t="inlineStr">
        <is>
          <t>Cortar la carga</t>
        </is>
      </c>
      <c r="C4" s="14" t="inlineStr">
        <is>
          <t>pkill -f runner.py</t>
        </is>
      </c>
    </row>
    <row r="5" ht="32" customHeight="1">
      <c r="A5" s="6" t="inlineStr">
        <is>
          <t>Ese generador</t>
        </is>
      </c>
      <c r="B5" s="6" t="inlineStr">
        <is>
          <t>Ver si sigue vivo</t>
        </is>
      </c>
      <c r="C5" s="14" t="inlineStr">
        <is>
          <t>pgrep -af runner.py</t>
        </is>
      </c>
    </row>
    <row r="6" ht="32" customHeight="1">
      <c r="A6" s="6" t="inlineStr">
        <is>
          <t>Ese generador</t>
        </is>
      </c>
      <c r="B6" s="6" t="inlineStr">
        <is>
          <t>Log en vivo</t>
        </is>
      </c>
      <c r="C6" s="14" t="inlineStr">
        <is>
          <t>tail -f carga.log</t>
        </is>
      </c>
    </row>
    <row r="7" ht="32" customHeight="1">
      <c r="A7" s="6" t="inlineStr">
        <is>
          <t>Flota desde la PC</t>
        </is>
      </c>
      <c r="B7" s="6" t="inlineStr">
        <is>
          <t>Cortar los 10</t>
        </is>
      </c>
      <c r="C7" s="14" t="inlineStr">
        <is>
          <t>cd ~/Música/ARGOS &amp;&amp; ./deploy/fleet.sh --hosts deploy/hosts.txt --stop</t>
        </is>
      </c>
    </row>
    <row r="8" ht="32" customHeight="1">
      <c r="A8" s="6" t="inlineStr">
        <is>
          <t>PC</t>
        </is>
      </c>
      <c r="B8" s="6" t="inlineStr">
        <is>
          <t>Collector como servicio</t>
        </is>
      </c>
      <c r="C8" s="14" t="inlineStr">
        <is>
          <t>sudo systemctl restart argos-collector</t>
        </is>
      </c>
    </row>
    <row r="9" ht="32" customHeight="1">
      <c r="A9" s="6" t="inlineStr">
        <is>
          <t>PC</t>
        </is>
      </c>
      <c r="B9" s="6" t="inlineStr">
        <is>
          <t>Log del collector servicio</t>
        </is>
      </c>
      <c r="C9" s="14" t="inlineStr">
        <is>
          <t>sudo journalctl -u argos-collector -f</t>
        </is>
      </c>
    </row>
    <row r="10" ht="32" customHeight="1">
      <c r="A10" s="6" t="inlineStr">
        <is>
          <t>Navegador</t>
        </is>
      </c>
      <c r="B10" s="6" t="inlineStr">
        <is>
          <t>Live Room</t>
        </is>
      </c>
      <c r="C10" s="14">
        <f>"http://127.0.0.1:"&amp;'1. Config'!B16</f>
        <v/>
      </c>
    </row>
    <row r="11" ht="32" customHeight="1">
      <c r="A11" s="6" t="inlineStr">
        <is>
          <t>Navegador</t>
        </is>
      </c>
      <c r="B11" s="6" t="inlineStr">
        <is>
          <t>Informe de un generador</t>
        </is>
      </c>
      <c r="C11" s="14">
        <f>"http://127.0.0.1:"&amp;'1. Config'!B16&amp;"/informe?instance=gen-01&amp;run=PEGÁ_EL_RUN_ID"</f>
        <v/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2026-08-21T18:15:23Z</dcterms:created>
  <dcterms:modified xsi:type="dcterms:W3CDTF">2026-08-21T18:15:23Z</dcterms:modified>
</cp:coreProperties>
</file>